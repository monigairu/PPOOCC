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628236F-4E6E-49ED-B07D-EDFE5D6FDB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RC1" sheetId="1" r:id="rId1"/>
    <sheet name="MRC2" sheetId="2" r:id="rId2"/>
  </sheets>
  <calcPr calcId="191029"/>
</workbook>
</file>

<file path=xl/calcChain.xml><?xml version="1.0" encoding="utf-8"?>
<calcChain xmlns="http://schemas.openxmlformats.org/spreadsheetml/2006/main">
  <c r="C5" i="2" l="1"/>
  <c r="C6" i="2"/>
  <c r="C7" i="2"/>
  <c r="C8" i="2"/>
  <c r="C4" i="2"/>
  <c r="C11" i="2"/>
  <c r="G47" i="2"/>
  <c r="H17" i="2"/>
  <c r="C16" i="2"/>
  <c r="F31" i="2"/>
  <c r="G31" i="2"/>
  <c r="H31" i="2"/>
  <c r="I31" i="2"/>
  <c r="J31" i="2"/>
  <c r="K31" i="2"/>
  <c r="G40" i="2"/>
  <c r="G41" i="2"/>
  <c r="G42" i="2"/>
  <c r="G43" i="2"/>
  <c r="G44" i="2"/>
  <c r="G45" i="2"/>
  <c r="G46" i="2"/>
  <c r="G39" i="2"/>
  <c r="B32" i="2"/>
  <c r="M25" i="2"/>
  <c r="M24" i="2"/>
  <c r="H24" i="2"/>
  <c r="O19" i="1"/>
  <c r="O18" i="1"/>
  <c r="H12" i="2"/>
  <c r="H16" i="2"/>
  <c r="H18" i="2"/>
  <c r="H19" i="2"/>
  <c r="H21" i="2"/>
  <c r="H22" i="2"/>
  <c r="H23" i="2"/>
  <c r="H25" i="2"/>
  <c r="C12" i="2"/>
  <c r="C13" i="2"/>
  <c r="C17" i="2"/>
  <c r="C18" i="2"/>
  <c r="C19" i="2"/>
  <c r="C20" i="2"/>
  <c r="C21" i="2"/>
  <c r="C22" i="2"/>
  <c r="C23" i="2"/>
  <c r="C24" i="2"/>
  <c r="C25" i="2"/>
  <c r="M29" i="1"/>
  <c r="N29" i="1"/>
  <c r="L29" i="1"/>
  <c r="J29" i="1"/>
  <c r="I29" i="1"/>
  <c r="H29" i="1"/>
  <c r="K9" i="1"/>
  <c r="H15" i="2" s="1"/>
  <c r="G9" i="1"/>
  <c r="C15" i="2" s="1"/>
  <c r="G8" i="1"/>
  <c r="C14" i="2" s="1"/>
  <c r="K17" i="1"/>
  <c r="K16" i="1"/>
  <c r="K15" i="1"/>
  <c r="K14" i="1"/>
  <c r="H20" i="2" s="1"/>
  <c r="K7" i="1"/>
  <c r="H13" i="2" s="1"/>
  <c r="K8" i="1"/>
  <c r="H14" i="2" s="1"/>
  <c r="G5" i="1"/>
  <c r="K6" i="1"/>
  <c r="K5" i="1"/>
  <c r="H11" i="2" s="1"/>
  <c r="E31" i="2" l="1"/>
  <c r="L31" i="2"/>
  <c r="D31" i="2"/>
  <c r="C31" i="2"/>
</calcChain>
</file>

<file path=xl/sharedStrings.xml><?xml version="1.0" encoding="utf-8"?>
<sst xmlns="http://schemas.openxmlformats.org/spreadsheetml/2006/main" count="160" uniqueCount="97">
  <si>
    <t>基本情報1</t>
  </si>
  <si>
    <t>基本情報2</t>
  </si>
  <si>
    <t>年度</t>
  </si>
  <si>
    <t>項目</t>
  </si>
  <si>
    <t>計画</t>
  </si>
  <si>
    <t>実績</t>
  </si>
  <si>
    <t>差分</t>
  </si>
  <si>
    <t>電力会社</t>
  </si>
  <si>
    <t>件名</t>
  </si>
  <si>
    <t>工事件名</t>
  </si>
  <si>
    <t>対象費目1</t>
  </si>
  <si>
    <t>施設解体一解体費</t>
  </si>
  <si>
    <t>炉型</t>
  </si>
  <si>
    <t>対象費目2</t>
  </si>
  <si>
    <t>計画/実績</t>
  </si>
  <si>
    <t>発電所名</t>
  </si>
  <si>
    <t>工期開始日</t>
  </si>
  <si>
    <t>工期終了日</t>
  </si>
  <si>
    <t>全体工期開始日</t>
  </si>
  <si>
    <t>全体工期終了日</t>
  </si>
  <si>
    <t>対象号炉1</t>
  </si>
  <si>
    <t>対象号炉2</t>
  </si>
  <si>
    <t>対象号炉3</t>
  </si>
  <si>
    <t>なし</t>
  </si>
  <si>
    <t>対象号炉4</t>
  </si>
  <si>
    <t>総額</t>
  </si>
  <si>
    <t>全体支払い対象金額</t>
  </si>
  <si>
    <t>内容（計画）</t>
  </si>
  <si>
    <t>内容（実績）</t>
  </si>
  <si>
    <t>実施内容
※解体機器や解体物量に関する情報はここには記載せず、下部の表に記載を行う</t>
  </si>
  <si>
    <t>実施理由
※実績時：計画と実績の差異内容及びその理由</t>
  </si>
  <si>
    <t>実施費用低減策</t>
  </si>
  <si>
    <t>説明</t>
  </si>
  <si>
    <t>実施内容（解体機器・解体物量）</t>
  </si>
  <si>
    <t>対象年度</t>
  </si>
  <si>
    <t>▼分類</t>
  </si>
  <si>
    <t>解体機器</t>
  </si>
  <si>
    <t>作業区域
（非管理区域・管理区域・埋区域）</t>
  </si>
  <si>
    <t>支払い対象可否</t>
  </si>
  <si>
    <t>員数
（台数）</t>
  </si>
  <si>
    <t>解体物量
（t）</t>
  </si>
  <si>
    <t>工数
（人・時間）</t>
  </si>
  <si>
    <t>費用</t>
  </si>
  <si>
    <t>合計</t>
  </si>
  <si>
    <t>ポンプ・モータ類</t>
  </si>
  <si>
    <t>支払い対象</t>
  </si>
  <si>
    <t>管理区域</t>
  </si>
  <si>
    <t>なし</t>
    <phoneticPr fontId="2"/>
  </si>
  <si>
    <t>計実_様式2_PBG_工事概要①</t>
    <rPh sb="0" eb="2">
      <t>ケイジツ</t>
    </rPh>
    <rPh sb="3" eb="5">
      <t>ヨウシキ</t>
    </rPh>
    <rPh sb="11" eb="15">
      <t>コウジガイヨウ</t>
    </rPh>
    <phoneticPr fontId="2"/>
  </si>
  <si>
    <t>基本情報2</t>
    <phoneticPr fontId="2"/>
  </si>
  <si>
    <t>2026年度</t>
    <rPh sb="4" eb="6">
      <t>ネンド</t>
    </rPh>
    <phoneticPr fontId="2"/>
  </si>
  <si>
    <t>2027年度</t>
    <rPh sb="4" eb="6">
      <t>ネンド</t>
    </rPh>
    <phoneticPr fontId="2"/>
  </si>
  <si>
    <t>2028年度</t>
    <rPh sb="4" eb="6">
      <t>ネンド</t>
    </rPh>
    <phoneticPr fontId="2"/>
  </si>
  <si>
    <t>2029年度</t>
    <rPh sb="4" eb="6">
      <t>ネンド</t>
    </rPh>
    <phoneticPr fontId="2"/>
  </si>
  <si>
    <t>年度単位総額</t>
    <rPh sb="0" eb="4">
      <t>ネンドタンイ</t>
    </rPh>
    <rPh sb="4" eb="6">
      <t>ソウガク</t>
    </rPh>
    <phoneticPr fontId="2"/>
  </si>
  <si>
    <t>　年度単位支払総額</t>
    <rPh sb="1" eb="9">
      <t>ネンドタンイシハライソウガク</t>
    </rPh>
    <phoneticPr fontId="2"/>
  </si>
  <si>
    <t>費用内訳 ※3</t>
    <rPh sb="0" eb="4">
      <t>ヒヨウウチワケ</t>
    </rPh>
    <phoneticPr fontId="2"/>
  </si>
  <si>
    <t>2030年度</t>
    <rPh sb="4" eb="6">
      <t>ネンド</t>
    </rPh>
    <phoneticPr fontId="2"/>
  </si>
  <si>
    <t>計画</t>
    <rPh sb="0" eb="2">
      <t>ケイカク</t>
    </rPh>
    <phoneticPr fontId="2"/>
  </si>
  <si>
    <t>区分</t>
    <rPh sb="0" eb="2">
      <t>クブン</t>
    </rPh>
    <phoneticPr fontId="2"/>
  </si>
  <si>
    <t>直接工事費</t>
    <rPh sb="0" eb="2">
      <t>チョクセツ</t>
    </rPh>
    <rPh sb="2" eb="5">
      <t>コウジヒ</t>
    </rPh>
    <phoneticPr fontId="2"/>
  </si>
  <si>
    <t>人件費</t>
    <rPh sb="0" eb="3">
      <t>ジンケンヒ</t>
    </rPh>
    <phoneticPr fontId="2"/>
  </si>
  <si>
    <t>材料費</t>
    <rPh sb="0" eb="3">
      <t>ザイリョウヒ</t>
    </rPh>
    <phoneticPr fontId="2"/>
  </si>
  <si>
    <t>仮設備費</t>
    <rPh sb="0" eb="1">
      <t>カリ</t>
    </rPh>
    <rPh sb="1" eb="4">
      <t>セツビヒ</t>
    </rPh>
    <phoneticPr fontId="2"/>
  </si>
  <si>
    <t>品質保証費</t>
    <rPh sb="0" eb="5">
      <t>ヒンシツホショウヒ</t>
    </rPh>
    <phoneticPr fontId="2"/>
  </si>
  <si>
    <t>安全対策費</t>
    <rPh sb="0" eb="5">
      <t>アンゼンタイサクヒ</t>
    </rPh>
    <phoneticPr fontId="2"/>
  </si>
  <si>
    <t>現場経費</t>
    <rPh sb="0" eb="2">
      <t>ゲンバ</t>
    </rPh>
    <rPh sb="2" eb="4">
      <t>ケイヒ</t>
    </rPh>
    <phoneticPr fontId="2"/>
  </si>
  <si>
    <t>諸経費</t>
    <rPh sb="0" eb="3">
      <t>ショケイヒ</t>
    </rPh>
    <phoneticPr fontId="2"/>
  </si>
  <si>
    <t>その他</t>
    <rPh sb="2" eb="3">
      <t>タ</t>
    </rPh>
    <phoneticPr fontId="2"/>
  </si>
  <si>
    <t>費用内訳</t>
    <rPh sb="0" eb="4">
      <t>ヒヨウウチワケ</t>
    </rPh>
    <phoneticPr fontId="2"/>
  </si>
  <si>
    <t>名称</t>
    <rPh sb="0" eb="2">
      <t>メイショウ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</si>
  <si>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</si>
  <si>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</si>
  <si>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</si>
  <si>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間接費</t>
    <rPh sb="0" eb="3">
      <t>カンセツヒ</t>
    </rPh>
    <phoneticPr fontId="2"/>
  </si>
  <si>
    <t>合計※2</t>
    <rPh sb="0" eb="2">
      <t>ゴウケイ</t>
    </rPh>
    <phoneticPr fontId="2"/>
  </si>
  <si>
    <t>合計</t>
    <rPh sb="0" eb="2">
      <t>ゴウケイ</t>
    </rPh>
    <phoneticPr fontId="2"/>
  </si>
  <si>
    <t>原子炉補助冷却系統不要機器解体工事</t>
    <rPh sb="0" eb="3">
      <t>ゲンシロ</t>
    </rPh>
    <rPh sb="3" eb="7">
      <t>ホジョレイキャク</t>
    </rPh>
    <rPh sb="7" eb="9">
      <t>ケイトウ</t>
    </rPh>
    <rPh sb="9" eb="13">
      <t>フヨウキキ</t>
    </rPh>
    <rPh sb="13" eb="15">
      <t>カイタイ</t>
    </rPh>
    <phoneticPr fontId="2"/>
  </si>
  <si>
    <t>BWR</t>
  </si>
  <si>
    <t>処理処分-非該当</t>
  </si>
  <si>
    <t>館山2号機</t>
    <rPh sb="0" eb="2">
      <t>タテヤマ</t>
    </rPh>
    <phoneticPr fontId="2"/>
  </si>
  <si>
    <t>本工事は、館山2号原子炉補助冷却系統における不要機器等・配管等の解体撤去を実施するものであり、対象は補助冷却系統エリア地下2階、ACW補助冷却系統エリア地下2階、ACW補助冷却系統エリア地下2階、HPCS/制御室内の関連設備とする。</t>
    <rPh sb="0" eb="3">
      <t>ホンコウジ</t>
    </rPh>
    <rPh sb="5" eb="7">
      <t>タテヤマ</t>
    </rPh>
    <rPh sb="8" eb="9">
      <t>ゴウ</t>
    </rPh>
    <rPh sb="9" eb="12">
      <t>ゲンシロ</t>
    </rPh>
    <rPh sb="12" eb="14">
      <t>ホジョ</t>
    </rPh>
    <rPh sb="14" eb="18">
      <t>レイキャクケイトウ</t>
    </rPh>
    <rPh sb="22" eb="24">
      <t>フヨウ</t>
    </rPh>
    <rPh sb="24" eb="27">
      <t>キキトウ</t>
    </rPh>
    <rPh sb="28" eb="30">
      <t>ハイカン</t>
    </rPh>
    <rPh sb="30" eb="31">
      <t>トウ</t>
    </rPh>
    <rPh sb="32" eb="34">
      <t>カイタイ</t>
    </rPh>
    <rPh sb="34" eb="36">
      <t>テッキョ</t>
    </rPh>
    <rPh sb="37" eb="39">
      <t>ジッシ</t>
    </rPh>
    <rPh sb="47" eb="49">
      <t>タイショウ</t>
    </rPh>
    <rPh sb="50" eb="54">
      <t>ホジョレイキャク</t>
    </rPh>
    <rPh sb="54" eb="56">
      <t>ケイトウ</t>
    </rPh>
    <rPh sb="59" eb="61">
      <t>チカ</t>
    </rPh>
    <rPh sb="62" eb="63">
      <t>カイ</t>
    </rPh>
    <rPh sb="67" eb="71">
      <t>ホジョレイキャク</t>
    </rPh>
    <rPh sb="71" eb="73">
      <t>ケイトウ</t>
    </rPh>
    <rPh sb="76" eb="78">
      <t>チカ</t>
    </rPh>
    <rPh sb="79" eb="80">
      <t>カイ</t>
    </rPh>
    <rPh sb="84" eb="88">
      <t>ホジョレイキャク</t>
    </rPh>
    <rPh sb="88" eb="90">
      <t>ケイトウ</t>
    </rPh>
    <rPh sb="93" eb="95">
      <t>チカ</t>
    </rPh>
    <rPh sb="96" eb="97">
      <t>カイ</t>
    </rPh>
    <rPh sb="103" eb="106">
      <t>セイギョシツ</t>
    </rPh>
    <rPh sb="106" eb="107">
      <t>ナイ</t>
    </rPh>
    <phoneticPr fontId="2"/>
  </si>
  <si>
    <t>弁</t>
  </si>
  <si>
    <t>ケーブル</t>
  </si>
  <si>
    <t>サポート</t>
  </si>
  <si>
    <t>その他機器</t>
  </si>
  <si>
    <t>準備片付け</t>
  </si>
  <si>
    <t>機材費</t>
  </si>
  <si>
    <t>ポンプ</t>
    <phoneticPr fontId="2"/>
  </si>
  <si>
    <t>配管</t>
    <phoneticPr fontId="2"/>
  </si>
  <si>
    <t>配管(電線管を含む)</t>
    <rPh sb="0" eb="2">
      <t>ハイカン</t>
    </rPh>
    <rPh sb="3" eb="6">
      <t>デンセンカン</t>
    </rPh>
    <rPh sb="7" eb="8">
      <t>フク</t>
    </rPh>
    <phoneticPr fontId="2"/>
  </si>
  <si>
    <t>弁</t>
    <rPh sb="0" eb="1">
      <t>ベン</t>
    </rPh>
    <phoneticPr fontId="2"/>
  </si>
  <si>
    <t>ケーブル</t>
    <phoneticPr fontId="2"/>
  </si>
  <si>
    <t>サポート</t>
    <phoneticPr fontId="2"/>
  </si>
  <si>
    <t>その他機器</t>
    <rPh sb="2" eb="5">
      <t>タキキ</t>
    </rPh>
    <phoneticPr fontId="2"/>
  </si>
  <si>
    <t>費用</t>
    <phoneticPr fontId="2"/>
  </si>
  <si>
    <t>関東電力</t>
    <rPh sb="0" eb="2">
      <t>カントウ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</si>
</sst>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円&quot;"/>
  </numFmts>
  <fonts count="9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0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1"/>
      <name val="游ゴシック"/>
      <family val="3"/>
      <charset val="128"/>
    </font>
    <font>
      <b/>
      <sz val="11"/>
      <color rgb="FFFFFFFF"/>
      <name val="游ゴシック"/>
      <family val="3"/>
      <charset val="128"/>
    </font>
    <font>
      <b/>
      <sz val="11"/>
      <color theme="1"/>
      <name val="游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00B050"/>
      </patternFill>
    </fill>
    <fill>
      <patternFill patternType="solid">
        <fgColor rgb="FF0070C0"/>
        <bgColor rgb="FF92D050"/>
      </patternFill>
    </fill>
    <fill>
      <patternFill patternType="solid">
        <fgColor rgb="FF92D050"/>
        <bgColor rgb="FF0070C0"/>
      </patternFill>
    </fill>
    <fill>
      <patternFill patternType="solid">
        <fgColor rgb="FF92D050"/>
        <bgColor rgb="FFFF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rgb="FFFFFF00"/>
      </patternFill>
    </fill>
    <fill>
      <patternFill patternType="solid">
        <fgColor rgb="FFFFFF00"/>
        <bgColor rgb="FF0070C0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rgb="FFCCFFCC"/>
      </patternFill>
    </fill>
    <fill>
      <patternFill patternType="solid">
        <fgColor theme="6" tint="0.59999389629810485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6" tint="0.39997558519241921"/>
        <bgColor rgb="FFCCFFCC"/>
      </patternFill>
    </fill>
    <fill>
      <patternFill patternType="solid">
        <fgColor rgb="FFFFFF00"/>
        <bgColor rgb="FF00B050"/>
      </patternFill>
    </fill>
    <fill>
      <patternFill patternType="solid">
        <fgColor rgb="FF00B050"/>
        <bgColor rgb="FF0070C0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rgb="FF00B050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38" fontId="1" fillId="0" borderId="0">
      <alignment vertical="center"/>
    </xf>
  </cellStyleXfs>
  <cellXfs count="129">
    <xf numFmtId="0" fontId="0" fillId="0" borderId="0" xfId="0"/>
    <xf numFmtId="0" fontId="3" fillId="6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top" wrapText="1"/>
    </xf>
    <xf numFmtId="0" fontId="5" fillId="0" borderId="2" xfId="0" applyFont="1" applyBorder="1"/>
    <xf numFmtId="0" fontId="5" fillId="0" borderId="3" xfId="0" applyFont="1" applyBorder="1"/>
    <xf numFmtId="0" fontId="3" fillId="9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vertical="top" wrapText="1"/>
    </xf>
    <xf numFmtId="0" fontId="6" fillId="2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8" borderId="1" xfId="0" applyFont="1" applyFill="1" applyBorder="1" applyAlignment="1">
      <alignment horizontal="center" vertical="center" wrapText="1"/>
    </xf>
    <xf numFmtId="0" fontId="5" fillId="11" borderId="0" xfId="0" applyFont="1" applyFill="1"/>
    <xf numFmtId="38" fontId="6" fillId="12" borderId="1" xfId="1" applyFont="1" applyFill="1" applyBorder="1" applyAlignment="1">
      <alignment horizontal="right" vertical="center" wrapText="1"/>
    </xf>
    <xf numFmtId="0" fontId="6" fillId="19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vertical="center" wrapText="1"/>
    </xf>
    <xf numFmtId="0" fontId="6" fillId="17" borderId="1" xfId="0" applyFont="1" applyFill="1" applyBorder="1" applyAlignment="1">
      <alignment vertical="top" wrapText="1"/>
    </xf>
    <xf numFmtId="0" fontId="6" fillId="18" borderId="1" xfId="0" applyFont="1" applyFill="1" applyBorder="1" applyAlignment="1">
      <alignment vertical="top" wrapText="1"/>
    </xf>
    <xf numFmtId="0" fontId="8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176" fontId="6" fillId="12" borderId="1" xfId="0" applyNumberFormat="1" applyFont="1" applyFill="1" applyBorder="1" applyAlignment="1">
      <alignment vertical="top" wrapText="1"/>
    </xf>
    <xf numFmtId="0" fontId="3" fillId="8" borderId="7" xfId="0" applyFont="1" applyFill="1" applyBorder="1" applyAlignment="1">
      <alignment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vertical="top" wrapText="1"/>
    </xf>
    <xf numFmtId="0" fontId="6" fillId="11" borderId="14" xfId="0" applyFont="1" applyFill="1" applyBorder="1" applyAlignment="1">
      <alignment vertical="top" wrapText="1"/>
    </xf>
    <xf numFmtId="176" fontId="6" fillId="12" borderId="14" xfId="0" applyNumberFormat="1" applyFont="1" applyFill="1" applyBorder="1" applyAlignment="1">
      <alignment vertical="top" wrapText="1"/>
    </xf>
    <xf numFmtId="0" fontId="4" fillId="10" borderId="15" xfId="0" applyFont="1" applyFill="1" applyBorder="1" applyAlignment="1">
      <alignment vertical="top" wrapText="1"/>
    </xf>
    <xf numFmtId="176" fontId="6" fillId="12" borderId="19" xfId="0" applyNumberFormat="1" applyFont="1" applyFill="1" applyBorder="1" applyAlignment="1">
      <alignment vertical="top" wrapText="1"/>
    </xf>
    <xf numFmtId="0" fontId="3" fillId="8" borderId="3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5" xfId="0" applyFont="1" applyFill="1" applyBorder="1" applyAlignment="1">
      <alignment vertical="center" wrapText="1"/>
    </xf>
    <xf numFmtId="0" fontId="4" fillId="10" borderId="26" xfId="0" applyFont="1" applyFill="1" applyBorder="1" applyAlignment="1">
      <alignment vertical="top" wrapText="1"/>
    </xf>
    <xf numFmtId="0" fontId="4" fillId="10" borderId="27" xfId="0" applyFont="1" applyFill="1" applyBorder="1" applyAlignment="1">
      <alignment vertical="top" wrapText="1"/>
    </xf>
    <xf numFmtId="0" fontId="5" fillId="17" borderId="1" xfId="0" applyFont="1" applyFill="1" applyBorder="1"/>
    <xf numFmtId="0" fontId="3" fillId="25" borderId="20" xfId="0" applyFont="1" applyFill="1" applyBorder="1"/>
    <xf numFmtId="0" fontId="3" fillId="25" borderId="21" xfId="0" applyFont="1" applyFill="1" applyBorder="1"/>
    <xf numFmtId="0" fontId="5" fillId="10" borderId="30" xfId="0" applyFont="1" applyFill="1" applyBorder="1"/>
    <xf numFmtId="0" fontId="5" fillId="10" borderId="0" xfId="0" applyFont="1" applyFill="1"/>
    <xf numFmtId="0" fontId="5" fillId="10" borderId="28" xfId="0" applyFont="1" applyFill="1" applyBorder="1"/>
    <xf numFmtId="0" fontId="5" fillId="10" borderId="2" xfId="0" applyFont="1" applyFill="1" applyBorder="1"/>
    <xf numFmtId="0" fontId="5" fillId="10" borderId="29" xfId="0" applyFont="1" applyFill="1" applyBorder="1"/>
    <xf numFmtId="0" fontId="5" fillId="10" borderId="17" xfId="0" applyFont="1" applyFill="1" applyBorder="1"/>
    <xf numFmtId="0" fontId="3" fillId="25" borderId="11" xfId="0" applyFont="1" applyFill="1" applyBorder="1"/>
    <xf numFmtId="0" fontId="3" fillId="25" borderId="1" xfId="0" applyFont="1" applyFill="1" applyBorder="1"/>
    <xf numFmtId="0" fontId="5" fillId="11" borderId="1" xfId="0" applyFont="1" applyFill="1" applyBorder="1"/>
    <xf numFmtId="176" fontId="5" fillId="17" borderId="3" xfId="0" applyNumberFormat="1" applyFont="1" applyFill="1" applyBorder="1"/>
    <xf numFmtId="176" fontId="6" fillId="17" borderId="1" xfId="0" applyNumberFormat="1" applyFont="1" applyFill="1" applyBorder="1" applyAlignment="1">
      <alignment vertical="top" wrapText="1"/>
    </xf>
    <xf numFmtId="176" fontId="5" fillId="17" borderId="1" xfId="0" applyNumberFormat="1" applyFont="1" applyFill="1" applyBorder="1"/>
    <xf numFmtId="38" fontId="5" fillId="17" borderId="1" xfId="1" applyFont="1" applyFill="1" applyBorder="1">
      <alignment vertical="center"/>
    </xf>
    <xf numFmtId="38" fontId="5" fillId="24" borderId="0" xfId="1" applyFont="1" applyFill="1">
      <alignment vertical="center"/>
    </xf>
    <xf numFmtId="176" fontId="5" fillId="24" borderId="3" xfId="0" applyNumberFormat="1" applyFont="1" applyFill="1" applyBorder="1"/>
    <xf numFmtId="176" fontId="5" fillId="24" borderId="1" xfId="0" applyNumberFormat="1" applyFont="1" applyFill="1" applyBorder="1"/>
    <xf numFmtId="176" fontId="6" fillId="24" borderId="1" xfId="0" applyNumberFormat="1" applyFont="1" applyFill="1" applyBorder="1" applyAlignment="1">
      <alignment vertical="top" wrapText="1"/>
    </xf>
    <xf numFmtId="176" fontId="5" fillId="17" borderId="1" xfId="1" applyNumberFormat="1" applyFont="1" applyFill="1" applyBorder="1">
      <alignment vertical="center"/>
    </xf>
    <xf numFmtId="176" fontId="5" fillId="24" borderId="1" xfId="1" applyNumberFormat="1" applyFont="1" applyFill="1" applyBorder="1">
      <alignment vertical="center"/>
    </xf>
    <xf numFmtId="176" fontId="5" fillId="11" borderId="1" xfId="0" applyNumberFormat="1" applyFont="1" applyFill="1" applyBorder="1"/>
    <xf numFmtId="0" fontId="6" fillId="26" borderId="1" xfId="0" applyFont="1" applyFill="1" applyBorder="1" applyAlignment="1">
      <alignment horizontal="center" vertical="top" wrapText="1"/>
    </xf>
    <xf numFmtId="55" fontId="5" fillId="13" borderId="4" xfId="0" applyNumberFormat="1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0" fontId="5" fillId="13" borderId="3" xfId="0" applyFont="1" applyFill="1" applyBorder="1" applyAlignment="1">
      <alignment horizontal="left" vertical="center"/>
    </xf>
    <xf numFmtId="0" fontId="5" fillId="13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5" fillId="13" borderId="4" xfId="0" applyFont="1" applyFill="1" applyBorder="1" applyAlignment="1">
      <alignment vertical="center" wrapText="1"/>
    </xf>
    <xf numFmtId="0" fontId="5" fillId="13" borderId="2" xfId="0" applyFont="1" applyFill="1" applyBorder="1" applyAlignment="1">
      <alignment vertical="center" wrapText="1"/>
    </xf>
    <xf numFmtId="0" fontId="5" fillId="1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23" borderId="4" xfId="0" applyFont="1" applyFill="1" applyBorder="1" applyAlignment="1">
      <alignment vertical="center"/>
    </xf>
    <xf numFmtId="0" fontId="5" fillId="23" borderId="2" xfId="0" applyFont="1" applyFill="1" applyBorder="1" applyAlignment="1">
      <alignment vertical="center"/>
    </xf>
    <xf numFmtId="0" fontId="5" fillId="23" borderId="3" xfId="0" applyFont="1" applyFill="1" applyBorder="1" applyAlignment="1">
      <alignment vertical="center"/>
    </xf>
    <xf numFmtId="0" fontId="6" fillId="16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4" fillId="10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6" fillId="5" borderId="1" xfId="0" applyFont="1" applyFill="1" applyBorder="1" applyAlignment="1">
      <alignment horizontal="center" vertical="top" wrapText="1"/>
    </xf>
    <xf numFmtId="0" fontId="4" fillId="21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top" wrapText="1"/>
    </xf>
    <xf numFmtId="0" fontId="4" fillId="20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76" fontId="6" fillId="7" borderId="1" xfId="0" applyNumberFormat="1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1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horizontal="center" vertical="center" wrapText="1"/>
    </xf>
    <xf numFmtId="176" fontId="5" fillId="3" borderId="4" xfId="0" applyNumberFormat="1" applyFont="1" applyFill="1" applyBorder="1" applyAlignment="1">
      <alignment vertical="center" wrapText="1"/>
    </xf>
    <xf numFmtId="176" fontId="5" fillId="3" borderId="2" xfId="0" applyNumberFormat="1" applyFont="1" applyFill="1" applyBorder="1" applyAlignment="1">
      <alignment vertical="center" wrapText="1"/>
    </xf>
    <xf numFmtId="176" fontId="5" fillId="3" borderId="3" xfId="0" applyNumberFormat="1" applyFont="1" applyFill="1" applyBorder="1" applyAlignment="1">
      <alignment vertical="center" wrapText="1"/>
    </xf>
    <xf numFmtId="0" fontId="3" fillId="25" borderId="20" xfId="0" applyFont="1" applyFill="1" applyBorder="1" applyAlignment="1">
      <alignment horizontal="center"/>
    </xf>
    <xf numFmtId="0" fontId="3" fillId="25" borderId="21" xfId="0" applyFont="1" applyFill="1" applyBorder="1" applyAlignment="1">
      <alignment horizontal="center"/>
    </xf>
    <xf numFmtId="0" fontId="3" fillId="25" borderId="24" xfId="0" applyFont="1" applyFill="1" applyBorder="1" applyAlignment="1">
      <alignment horizontal="center"/>
    </xf>
    <xf numFmtId="0" fontId="5" fillId="3" borderId="16" xfId="0" applyFont="1" applyFill="1" applyBorder="1" applyAlignment="1">
      <alignment vertical="center" wrapText="1"/>
    </xf>
    <xf numFmtId="0" fontId="5" fillId="3" borderId="17" xfId="0" applyFont="1" applyFill="1" applyBorder="1" applyAlignment="1">
      <alignment vertical="center" wrapText="1"/>
    </xf>
    <xf numFmtId="0" fontId="5" fillId="3" borderId="18" xfId="0" applyFont="1" applyFill="1" applyBorder="1" applyAlignment="1">
      <alignment vertical="center" wrapText="1"/>
    </xf>
    <xf numFmtId="0" fontId="3" fillId="8" borderId="20" xfId="0" applyFont="1" applyFill="1" applyBorder="1" applyAlignment="1">
      <alignment horizontal="left" vertical="center" wrapText="1"/>
    </xf>
    <xf numFmtId="0" fontId="3" fillId="8" borderId="21" xfId="0" applyFont="1" applyFill="1" applyBorder="1" applyAlignment="1">
      <alignment horizontal="left" vertical="center" wrapText="1"/>
    </xf>
    <xf numFmtId="0" fontId="3" fillId="8" borderId="22" xfId="0" applyFont="1" applyFill="1" applyBorder="1" applyAlignment="1">
      <alignment horizontal="left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5" fillId="0" borderId="21" xfId="0" applyFont="1" applyBorder="1"/>
    <xf numFmtId="0" fontId="5" fillId="0" borderId="24" xfId="0" applyFont="1" applyBorder="1"/>
    <xf numFmtId="55" fontId="5" fillId="3" borderId="4" xfId="0" applyNumberFormat="1" applyFont="1" applyFill="1" applyBorder="1" applyAlignment="1">
      <alignment horizontal="left" vertical="center" wrapText="1"/>
    </xf>
    <xf numFmtId="55" fontId="5" fillId="3" borderId="2" xfId="0" applyNumberFormat="1" applyFont="1" applyFill="1" applyBorder="1" applyAlignment="1">
      <alignment horizontal="left" vertical="center" wrapText="1"/>
    </xf>
    <xf numFmtId="55" fontId="5" fillId="3" borderId="3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vertical="center" wrapText="1"/>
    </xf>
    <xf numFmtId="0" fontId="3" fillId="8" borderId="9" xfId="0" applyFont="1" applyFill="1" applyBorder="1" applyAlignment="1">
      <alignment vertical="center" wrapText="1"/>
    </xf>
    <xf numFmtId="0" fontId="3" fillId="8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5" fillId="0" borderId="9" xfId="0" applyFont="1" applyBorder="1"/>
    <xf numFmtId="0" fontId="5" fillId="0" borderId="10" xfId="0" applyFont="1" applyBorder="1"/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E097C7-69BB-4DAB-8E18-D4A7570ECEF6}">
  <we:reference id="wa200009404" version="1.0.0.8" store="ja-JP" storeType="OMEX"/>
  <we:alternateReferences>
    <we:reference id="wa200009404" version="1.0.0.8" store="wa200009404" storeType="OMEX"/>
  </we:alternateReferences>
  <we:properties>
    <we:property name="claude.fileId" value="&quot;1dbf5e2e-93a5-42a7-a9fd-2359ad91c65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7"/>
  <sheetViews>
    <sheetView tabSelected="1" zoomScale="70" zoomScaleNormal="70" workbookViewId="0">
      <selection activeCell="E14" sqref="E14:F14"/>
    </sheetView>
  </sheetViews>
  <sheetFormatPr defaultRowHeight="18" x14ac:dyDescent="0.45"/>
  <cols>
    <col min="1" max="1" width="4.6640625" style="3" customWidth="1"/>
    <col min="2" max="2" width="15.44140625" style="3" customWidth="1"/>
    <col min="3" max="3" width="16.109375" style="3" customWidth="1"/>
    <col min="4" max="4" width="18.21875" style="3" customWidth="1"/>
    <col min="5" max="5" width="13.109375" style="3" customWidth="1"/>
    <col min="6" max="14" width="14" style="3" customWidth="1"/>
    <col min="15" max="15" width="16.109375" style="3" customWidth="1"/>
    <col min="16" max="16384" width="8.88671875" style="3"/>
  </cols>
  <sheetData>
    <row r="1" spans="1:15" x14ac:dyDescent="0.45">
      <c r="A1" s="19" t="s">
        <v>48</v>
      </c>
      <c r="B1" s="19"/>
    </row>
    <row r="3" spans="1:15" ht="13.2" customHeight="1" x14ac:dyDescent="0.45">
      <c r="B3" s="2" t="s">
        <v>0</v>
      </c>
      <c r="E3" s="2" t="s">
        <v>1</v>
      </c>
    </row>
    <row r="4" spans="1:15" ht="15" customHeight="1" x14ac:dyDescent="0.45">
      <c r="B4" s="1" t="s">
        <v>2</v>
      </c>
      <c r="C4" s="4">
        <v>2026</v>
      </c>
      <c r="E4" s="90" t="s">
        <v>3</v>
      </c>
      <c r="F4" s="91"/>
      <c r="G4" s="66" t="s">
        <v>4</v>
      </c>
      <c r="H4" s="67"/>
      <c r="I4" s="67"/>
      <c r="J4" s="68"/>
      <c r="K4" s="92" t="s">
        <v>5</v>
      </c>
      <c r="L4" s="79"/>
      <c r="M4" s="79"/>
      <c r="N4" s="80"/>
      <c r="O4" s="7" t="s">
        <v>6</v>
      </c>
    </row>
    <row r="5" spans="1:15" ht="15" customHeight="1" x14ac:dyDescent="0.45">
      <c r="B5" s="1" t="s">
        <v>7</v>
      </c>
      <c r="C5" s="4" t="s">
        <v>96</v>
      </c>
      <c r="E5" s="81" t="s">
        <v>8</v>
      </c>
      <c r="F5" s="80"/>
      <c r="G5" s="72" t="str">
        <f>IF($C$6="","",$C$6)</f>
        <v>原子炉補助冷却系統不要機器解体工事</v>
      </c>
      <c r="H5" s="73"/>
      <c r="I5" s="73"/>
      <c r="J5" s="74"/>
      <c r="K5" s="72" t="str">
        <f>IF($C$6="","",$C$6)</f>
        <v>原子炉補助冷却系統不要機器解体工事</v>
      </c>
      <c r="L5" s="73"/>
      <c r="M5" s="73"/>
      <c r="N5" s="74"/>
      <c r="O5" s="8"/>
    </row>
    <row r="6" spans="1:15" ht="15" customHeight="1" x14ac:dyDescent="0.45">
      <c r="B6" s="1" t="s">
        <v>9</v>
      </c>
      <c r="C6" s="9" t="s">
        <v>77</v>
      </c>
      <c r="E6" s="81" t="s">
        <v>10</v>
      </c>
      <c r="F6" s="80"/>
      <c r="G6" s="69" t="s">
        <v>11</v>
      </c>
      <c r="H6" s="70"/>
      <c r="I6" s="70"/>
      <c r="J6" s="71"/>
      <c r="K6" s="72" t="str">
        <f>IF($G$6="","",$G$6)</f>
        <v>施設解体一解体費</v>
      </c>
      <c r="L6" s="73"/>
      <c r="M6" s="73"/>
      <c r="N6" s="74"/>
      <c r="O6" s="8"/>
    </row>
    <row r="7" spans="1:15" ht="15" customHeight="1" x14ac:dyDescent="0.45">
      <c r="B7" s="1" t="s">
        <v>12</v>
      </c>
      <c r="C7" s="4" t="s">
        <v>78</v>
      </c>
      <c r="E7" s="81" t="s">
        <v>13</v>
      </c>
      <c r="F7" s="80"/>
      <c r="G7" s="69" t="s">
        <v>79</v>
      </c>
      <c r="H7" s="70"/>
      <c r="I7" s="70"/>
      <c r="J7" s="71"/>
      <c r="K7" s="72" t="str">
        <f>IF($G$7="","",$G$7)</f>
        <v>処理処分-非該当</v>
      </c>
      <c r="L7" s="73"/>
      <c r="M7" s="73"/>
      <c r="N7" s="74"/>
      <c r="O7" s="8"/>
    </row>
    <row r="8" spans="1:15" ht="15" customHeight="1" x14ac:dyDescent="0.45">
      <c r="B8" s="1" t="s">
        <v>14</v>
      </c>
      <c r="C8" s="4" t="s">
        <v>4</v>
      </c>
      <c r="E8" s="81" t="s">
        <v>15</v>
      </c>
      <c r="F8" s="80"/>
      <c r="G8" s="75" t="str">
        <f>IF($C$5="","",$C$5)</f>
        <v>関東電力</v>
      </c>
      <c r="H8" s="76"/>
      <c r="I8" s="76"/>
      <c r="J8" s="77"/>
      <c r="K8" s="72" t="str">
        <f>IF($C$5="","",$C$5)</f>
        <v>関東電力</v>
      </c>
      <c r="L8" s="73"/>
      <c r="M8" s="73"/>
      <c r="N8" s="74"/>
      <c r="O8" s="8"/>
    </row>
    <row r="9" spans="1:15" ht="15" customHeight="1" x14ac:dyDescent="0.45">
      <c r="E9" s="81" t="s">
        <v>12</v>
      </c>
      <c r="F9" s="80"/>
      <c r="G9" s="72" t="str">
        <f>IF($C$7="","",$C$7)</f>
        <v>BWR</v>
      </c>
      <c r="H9" s="73"/>
      <c r="I9" s="73"/>
      <c r="J9" s="74"/>
      <c r="K9" s="72" t="str">
        <f>IF($C$7="","",$C$7)</f>
        <v>BWR</v>
      </c>
      <c r="L9" s="73"/>
      <c r="M9" s="73"/>
      <c r="N9" s="74"/>
      <c r="O9" s="8"/>
    </row>
    <row r="10" spans="1:15" ht="15" customHeight="1" x14ac:dyDescent="0.45">
      <c r="E10" s="81" t="s">
        <v>16</v>
      </c>
      <c r="F10" s="80"/>
      <c r="G10" s="62">
        <v>46269</v>
      </c>
      <c r="H10" s="63"/>
      <c r="I10" s="63"/>
      <c r="J10" s="64"/>
      <c r="K10" s="93"/>
      <c r="L10" s="94"/>
      <c r="M10" s="94"/>
      <c r="N10" s="95"/>
      <c r="O10" s="8"/>
    </row>
    <row r="11" spans="1:15" ht="15" customHeight="1" x14ac:dyDescent="0.45">
      <c r="E11" s="81" t="s">
        <v>17</v>
      </c>
      <c r="F11" s="80"/>
      <c r="G11" s="62">
        <v>46473</v>
      </c>
      <c r="H11" s="63"/>
      <c r="I11" s="63"/>
      <c r="J11" s="64"/>
      <c r="K11" s="93"/>
      <c r="L11" s="94"/>
      <c r="M11" s="94"/>
      <c r="N11" s="95"/>
      <c r="O11" s="8"/>
    </row>
    <row r="12" spans="1:15" ht="15" customHeight="1" x14ac:dyDescent="0.45">
      <c r="E12" s="81" t="s">
        <v>18</v>
      </c>
      <c r="F12" s="80"/>
      <c r="G12" s="62">
        <v>46269</v>
      </c>
      <c r="H12" s="63"/>
      <c r="I12" s="63"/>
      <c r="J12" s="64"/>
      <c r="K12" s="93"/>
      <c r="L12" s="94"/>
      <c r="M12" s="94"/>
      <c r="N12" s="95"/>
      <c r="O12" s="8"/>
    </row>
    <row r="13" spans="1:15" ht="15" customHeight="1" x14ac:dyDescent="0.45">
      <c r="E13" s="81" t="s">
        <v>19</v>
      </c>
      <c r="F13" s="80"/>
      <c r="G13" s="62">
        <v>46473</v>
      </c>
      <c r="H13" s="63"/>
      <c r="I13" s="63"/>
      <c r="J13" s="64"/>
      <c r="K13" s="93"/>
      <c r="L13" s="94"/>
      <c r="M13" s="94"/>
      <c r="N13" s="95"/>
      <c r="O13" s="8"/>
    </row>
    <row r="14" spans="1:15" ht="15" customHeight="1" x14ac:dyDescent="0.45">
      <c r="E14" s="81" t="s">
        <v>20</v>
      </c>
      <c r="F14" s="80"/>
      <c r="G14" s="65" t="s">
        <v>80</v>
      </c>
      <c r="H14" s="63"/>
      <c r="I14" s="63"/>
      <c r="J14" s="64"/>
      <c r="K14" s="97" t="str">
        <f>IF($G$14="","",$G$14)</f>
        <v>館山2号機</v>
      </c>
      <c r="L14" s="94"/>
      <c r="M14" s="94"/>
      <c r="N14" s="95"/>
      <c r="O14" s="8"/>
    </row>
    <row r="15" spans="1:15" ht="15" customHeight="1" x14ac:dyDescent="0.45">
      <c r="E15" s="81" t="s">
        <v>21</v>
      </c>
      <c r="F15" s="80"/>
      <c r="G15" s="65" t="s">
        <v>23</v>
      </c>
      <c r="H15" s="63"/>
      <c r="I15" s="63"/>
      <c r="J15" s="64"/>
      <c r="K15" s="97" t="str">
        <f>IF($G$15="","",$G$15)</f>
        <v>なし</v>
      </c>
      <c r="L15" s="94"/>
      <c r="M15" s="94"/>
      <c r="N15" s="95"/>
      <c r="O15" s="8"/>
    </row>
    <row r="16" spans="1:15" ht="15" customHeight="1" x14ac:dyDescent="0.45">
      <c r="E16" s="81" t="s">
        <v>22</v>
      </c>
      <c r="F16" s="80"/>
      <c r="G16" s="65" t="s">
        <v>23</v>
      </c>
      <c r="H16" s="63"/>
      <c r="I16" s="63"/>
      <c r="J16" s="64"/>
      <c r="K16" s="97" t="str">
        <f>IF($G$15="","",$G$15)</f>
        <v>なし</v>
      </c>
      <c r="L16" s="94"/>
      <c r="M16" s="94"/>
      <c r="N16" s="95"/>
      <c r="O16" s="8"/>
    </row>
    <row r="17" spans="2:15" ht="15" customHeight="1" x14ac:dyDescent="0.45">
      <c r="E17" s="81" t="s">
        <v>24</v>
      </c>
      <c r="F17" s="80"/>
      <c r="G17" s="65" t="s">
        <v>47</v>
      </c>
      <c r="H17" s="63"/>
      <c r="I17" s="63"/>
      <c r="J17" s="64"/>
      <c r="K17" s="97" t="str">
        <f>IF($G$16="","",$G$16)</f>
        <v>なし</v>
      </c>
      <c r="L17" s="94"/>
      <c r="M17" s="94"/>
      <c r="N17" s="95"/>
      <c r="O17" s="8"/>
    </row>
    <row r="18" spans="2:15" ht="15" customHeight="1" x14ac:dyDescent="0.45">
      <c r="E18" s="81" t="s">
        <v>25</v>
      </c>
      <c r="F18" s="80"/>
      <c r="G18" s="102">
        <v>40000</v>
      </c>
      <c r="H18" s="103"/>
      <c r="I18" s="103"/>
      <c r="J18" s="104"/>
      <c r="K18" s="96">
        <v>40000</v>
      </c>
      <c r="L18" s="94"/>
      <c r="M18" s="94"/>
      <c r="N18" s="95"/>
      <c r="O18" s="25">
        <f>K18-G18</f>
        <v>0</v>
      </c>
    </row>
    <row r="19" spans="2:15" ht="15" customHeight="1" x14ac:dyDescent="0.45">
      <c r="E19" s="81" t="s">
        <v>26</v>
      </c>
      <c r="F19" s="80"/>
      <c r="G19" s="102">
        <v>4000000</v>
      </c>
      <c r="H19" s="103"/>
      <c r="I19" s="103"/>
      <c r="J19" s="104"/>
      <c r="K19" s="96">
        <v>4000000</v>
      </c>
      <c r="L19" s="94"/>
      <c r="M19" s="94"/>
      <c r="N19" s="95"/>
      <c r="O19" s="25">
        <f>K19-G19</f>
        <v>0</v>
      </c>
    </row>
    <row r="20" spans="2:15" ht="15" customHeight="1" x14ac:dyDescent="0.45">
      <c r="E20" s="10"/>
      <c r="F20" s="98"/>
      <c r="G20" s="79"/>
      <c r="H20" s="79"/>
      <c r="I20" s="79"/>
      <c r="J20" s="80"/>
      <c r="K20" s="98"/>
      <c r="L20" s="79"/>
      <c r="M20" s="79"/>
      <c r="N20" s="80"/>
      <c r="O20" s="11"/>
    </row>
    <row r="21" spans="2:15" ht="15" customHeight="1" x14ac:dyDescent="0.45">
      <c r="E21" s="89" t="s">
        <v>3</v>
      </c>
      <c r="F21" s="80"/>
      <c r="G21" s="89" t="s">
        <v>27</v>
      </c>
      <c r="H21" s="79"/>
      <c r="I21" s="79"/>
      <c r="J21" s="80"/>
      <c r="K21" s="92" t="s">
        <v>28</v>
      </c>
      <c r="L21" s="79"/>
      <c r="M21" s="79"/>
      <c r="N21" s="80"/>
    </row>
    <row r="22" spans="2:15" ht="60" customHeight="1" x14ac:dyDescent="0.45">
      <c r="E22" s="87" t="s">
        <v>29</v>
      </c>
      <c r="F22" s="80"/>
      <c r="G22" s="84" t="s">
        <v>81</v>
      </c>
      <c r="H22" s="79"/>
      <c r="I22" s="79"/>
      <c r="J22" s="80"/>
      <c r="K22" s="100"/>
      <c r="L22" s="79"/>
      <c r="M22" s="79"/>
      <c r="N22" s="80"/>
    </row>
    <row r="23" spans="2:15" ht="60" customHeight="1" x14ac:dyDescent="0.45">
      <c r="E23" s="87" t="s">
        <v>30</v>
      </c>
      <c r="F23" s="80"/>
      <c r="G23" s="84"/>
      <c r="H23" s="79"/>
      <c r="I23" s="79"/>
      <c r="J23" s="80"/>
      <c r="K23" s="100"/>
      <c r="L23" s="79"/>
      <c r="M23" s="79"/>
      <c r="N23" s="80"/>
    </row>
    <row r="24" spans="2:15" ht="60" customHeight="1" x14ac:dyDescent="0.45">
      <c r="E24" s="85" t="s">
        <v>31</v>
      </c>
      <c r="F24" s="80"/>
      <c r="G24" s="86"/>
      <c r="H24" s="79"/>
      <c r="I24" s="79"/>
      <c r="J24" s="80"/>
      <c r="K24" s="99"/>
      <c r="L24" s="79"/>
      <c r="M24" s="79"/>
      <c r="N24" s="80"/>
    </row>
    <row r="25" spans="2:15" ht="60" customHeight="1" x14ac:dyDescent="0.45">
      <c r="E25" s="85" t="s">
        <v>32</v>
      </c>
      <c r="F25" s="80"/>
      <c r="G25" s="86"/>
      <c r="H25" s="79"/>
      <c r="I25" s="79"/>
      <c r="J25" s="80"/>
      <c r="K25" s="99"/>
      <c r="L25" s="79"/>
      <c r="M25" s="79"/>
      <c r="N25" s="80"/>
    </row>
    <row r="26" spans="2:15" ht="13.2" customHeight="1" x14ac:dyDescent="0.45">
      <c r="B26" s="88" t="s">
        <v>33</v>
      </c>
      <c r="C26" s="79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</row>
    <row r="27" spans="2:15" ht="19.95" customHeight="1" x14ac:dyDescent="0.45">
      <c r="B27" s="82" t="s">
        <v>34</v>
      </c>
      <c r="C27" s="82" t="s">
        <v>35</v>
      </c>
      <c r="D27" s="82" t="s">
        <v>36</v>
      </c>
      <c r="E27" s="82" t="s">
        <v>37</v>
      </c>
      <c r="F27" s="82" t="s">
        <v>38</v>
      </c>
      <c r="G27" s="82" t="s">
        <v>4</v>
      </c>
      <c r="H27" s="79"/>
      <c r="I27" s="79"/>
      <c r="J27" s="80"/>
      <c r="K27" s="101" t="s">
        <v>5</v>
      </c>
      <c r="L27" s="79"/>
      <c r="M27" s="79"/>
      <c r="N27" s="80"/>
    </row>
    <row r="28" spans="2:15" ht="30" customHeight="1" x14ac:dyDescent="0.45">
      <c r="B28" s="83"/>
      <c r="C28" s="83"/>
      <c r="D28" s="83"/>
      <c r="E28" s="83"/>
      <c r="F28" s="83"/>
      <c r="G28" s="12" t="s">
        <v>39</v>
      </c>
      <c r="H28" s="12" t="s">
        <v>40</v>
      </c>
      <c r="I28" s="12" t="s">
        <v>41</v>
      </c>
      <c r="J28" s="12" t="s">
        <v>95</v>
      </c>
      <c r="K28" s="7" t="s">
        <v>39</v>
      </c>
      <c r="L28" s="7" t="s">
        <v>40</v>
      </c>
      <c r="M28" s="7" t="s">
        <v>41</v>
      </c>
      <c r="N28" s="7" t="s">
        <v>42</v>
      </c>
    </row>
    <row r="29" spans="2:15" ht="15" customHeight="1" x14ac:dyDescent="0.45">
      <c r="B29" s="78" t="s">
        <v>43</v>
      </c>
      <c r="C29" s="79"/>
      <c r="D29" s="79"/>
      <c r="E29" s="79"/>
      <c r="F29" s="80"/>
      <c r="G29" s="13"/>
      <c r="H29" s="14">
        <f>SUM(H30:H96)</f>
        <v>9.2970000000000006</v>
      </c>
      <c r="I29" s="14">
        <f t="shared" ref="I29" si="0">SUM(I30:I96)</f>
        <v>4748.7160000000003</v>
      </c>
      <c r="J29" s="54">
        <f>SUM(J30:J96)</f>
        <v>158637670</v>
      </c>
      <c r="K29" s="15"/>
      <c r="L29" s="16">
        <f>SUM(L30:L96)</f>
        <v>0</v>
      </c>
      <c r="M29" s="16">
        <f t="shared" ref="M29:N29" si="1">SUM(M30:M96)</f>
        <v>0</v>
      </c>
      <c r="N29" s="16">
        <f t="shared" si="1"/>
        <v>0</v>
      </c>
    </row>
    <row r="30" spans="2:15" ht="15" customHeight="1" x14ac:dyDescent="0.45">
      <c r="B30" s="17">
        <v>2026</v>
      </c>
      <c r="C30" s="17" t="s">
        <v>44</v>
      </c>
      <c r="D30" s="17" t="s">
        <v>88</v>
      </c>
      <c r="E30" s="17" t="s">
        <v>46</v>
      </c>
      <c r="F30" s="17" t="s">
        <v>45</v>
      </c>
      <c r="G30" s="17">
        <v>1</v>
      </c>
      <c r="H30" s="17">
        <v>0.45700000000000002</v>
      </c>
      <c r="I30" s="17"/>
      <c r="J30" s="53">
        <v>1156131</v>
      </c>
      <c r="K30" s="18"/>
      <c r="L30" s="18"/>
      <c r="M30" s="18"/>
      <c r="N30" s="18"/>
    </row>
    <row r="31" spans="2:15" ht="15" customHeight="1" x14ac:dyDescent="0.45">
      <c r="B31" s="17">
        <v>2026</v>
      </c>
      <c r="C31" s="17" t="s">
        <v>89</v>
      </c>
      <c r="D31" s="17" t="s">
        <v>90</v>
      </c>
      <c r="E31" s="17" t="s">
        <v>46</v>
      </c>
      <c r="F31" s="17" t="s">
        <v>45</v>
      </c>
      <c r="G31" s="17"/>
      <c r="H31" s="17">
        <v>7.73</v>
      </c>
      <c r="I31" s="17">
        <v>4420.576</v>
      </c>
      <c r="J31" s="53">
        <v>83074605</v>
      </c>
      <c r="K31" s="18"/>
      <c r="L31" s="18"/>
      <c r="M31" s="18"/>
      <c r="N31" s="18"/>
    </row>
    <row r="32" spans="2:15" ht="15" customHeight="1" x14ac:dyDescent="0.45">
      <c r="B32" s="17">
        <v>2026</v>
      </c>
      <c r="C32" s="17" t="s">
        <v>82</v>
      </c>
      <c r="D32" s="17" t="s">
        <v>91</v>
      </c>
      <c r="E32" s="17" t="s">
        <v>46</v>
      </c>
      <c r="F32" s="17" t="s">
        <v>45</v>
      </c>
      <c r="G32" s="17">
        <v>3</v>
      </c>
      <c r="H32" s="17"/>
      <c r="I32" s="17">
        <v>88.426000000000002</v>
      </c>
      <c r="J32" s="53">
        <v>2023230</v>
      </c>
      <c r="K32" s="18"/>
      <c r="L32" s="18"/>
      <c r="M32" s="18"/>
      <c r="N32" s="18"/>
    </row>
    <row r="33" spans="2:14" ht="15" customHeight="1" x14ac:dyDescent="0.45">
      <c r="B33" s="17">
        <v>2026</v>
      </c>
      <c r="C33" s="17" t="s">
        <v>83</v>
      </c>
      <c r="D33" s="17" t="s">
        <v>92</v>
      </c>
      <c r="E33" s="17" t="s">
        <v>46</v>
      </c>
      <c r="F33" s="17" t="s">
        <v>45</v>
      </c>
      <c r="G33" s="17"/>
      <c r="H33" s="17">
        <v>0.01</v>
      </c>
      <c r="I33" s="17">
        <v>3.0880000000000001</v>
      </c>
      <c r="J33" s="53">
        <v>476904</v>
      </c>
      <c r="K33" s="18"/>
      <c r="L33" s="18"/>
      <c r="M33" s="18"/>
      <c r="N33" s="18"/>
    </row>
    <row r="34" spans="2:14" ht="15" customHeight="1" x14ac:dyDescent="0.45">
      <c r="B34" s="17">
        <v>2026</v>
      </c>
      <c r="C34" s="17" t="s">
        <v>84</v>
      </c>
      <c r="D34" s="17" t="s">
        <v>93</v>
      </c>
      <c r="E34" s="17" t="s">
        <v>46</v>
      </c>
      <c r="F34" s="17" t="s">
        <v>45</v>
      </c>
      <c r="G34" s="17"/>
      <c r="H34" s="17">
        <v>1.1000000000000001</v>
      </c>
      <c r="I34" s="17">
        <v>236.626</v>
      </c>
      <c r="J34" s="53">
        <v>16879546</v>
      </c>
      <c r="K34" s="18"/>
      <c r="L34" s="18"/>
      <c r="M34" s="18"/>
      <c r="N34" s="18"/>
    </row>
    <row r="35" spans="2:14" ht="15" customHeight="1" x14ac:dyDescent="0.45">
      <c r="B35" s="17">
        <v>2026</v>
      </c>
      <c r="C35" s="17" t="s">
        <v>85</v>
      </c>
      <c r="D35" s="17" t="s">
        <v>94</v>
      </c>
      <c r="E35" s="17" t="s">
        <v>46</v>
      </c>
      <c r="F35" s="17" t="s">
        <v>45</v>
      </c>
      <c r="G35" s="17">
        <v>2</v>
      </c>
      <c r="H35" s="17"/>
      <c r="I35" s="17"/>
      <c r="J35" s="53">
        <v>549162</v>
      </c>
      <c r="K35" s="18"/>
      <c r="L35" s="18"/>
      <c r="M35" s="18"/>
      <c r="N35" s="18"/>
    </row>
    <row r="36" spans="2:14" ht="15" customHeight="1" x14ac:dyDescent="0.45">
      <c r="B36" s="17">
        <v>2026</v>
      </c>
      <c r="C36" s="17" t="s">
        <v>86</v>
      </c>
      <c r="D36" s="8"/>
      <c r="E36" s="8" t="s">
        <v>46</v>
      </c>
      <c r="F36" s="8" t="s">
        <v>45</v>
      </c>
      <c r="G36" s="8"/>
      <c r="H36" s="8"/>
      <c r="I36" s="17"/>
      <c r="J36" s="53">
        <v>39663138</v>
      </c>
      <c r="K36" s="18"/>
      <c r="L36" s="18"/>
      <c r="M36" s="18"/>
      <c r="N36" s="18"/>
    </row>
    <row r="37" spans="2:14" ht="15" customHeight="1" x14ac:dyDescent="0.45">
      <c r="B37" s="17">
        <v>2026</v>
      </c>
      <c r="C37" s="17" t="s">
        <v>87</v>
      </c>
      <c r="D37" s="8"/>
      <c r="E37" s="8" t="s">
        <v>46</v>
      </c>
      <c r="F37" s="8" t="s">
        <v>45</v>
      </c>
      <c r="G37" s="8"/>
      <c r="H37" s="8"/>
      <c r="I37" s="8"/>
      <c r="J37" s="53">
        <v>14814954</v>
      </c>
      <c r="K37" s="18"/>
      <c r="L37" s="18"/>
      <c r="M37" s="18"/>
      <c r="N37" s="18"/>
    </row>
  </sheetData>
  <mergeCells count="74">
    <mergeCell ref="E12:F12"/>
    <mergeCell ref="K23:N23"/>
    <mergeCell ref="B27:B28"/>
    <mergeCell ref="K14:N14"/>
    <mergeCell ref="D27:D28"/>
    <mergeCell ref="E24:F24"/>
    <mergeCell ref="K17:N17"/>
    <mergeCell ref="G27:J27"/>
    <mergeCell ref="E27:E28"/>
    <mergeCell ref="K20:N20"/>
    <mergeCell ref="K22:N22"/>
    <mergeCell ref="K27:N27"/>
    <mergeCell ref="G16:J16"/>
    <mergeCell ref="G18:J18"/>
    <mergeCell ref="G17:J17"/>
    <mergeCell ref="G19:J19"/>
    <mergeCell ref="E5:F5"/>
    <mergeCell ref="E23:F23"/>
    <mergeCell ref="K7:N7"/>
    <mergeCell ref="E14:F14"/>
    <mergeCell ref="G25:J25"/>
    <mergeCell ref="E17:F17"/>
    <mergeCell ref="K10:N10"/>
    <mergeCell ref="E8:F8"/>
    <mergeCell ref="K19:N19"/>
    <mergeCell ref="G22:J22"/>
    <mergeCell ref="F20:J20"/>
    <mergeCell ref="E19:F19"/>
    <mergeCell ref="K25:N25"/>
    <mergeCell ref="G21:J21"/>
    <mergeCell ref="K24:N24"/>
    <mergeCell ref="K21:N21"/>
    <mergeCell ref="E4:F4"/>
    <mergeCell ref="K4:N4"/>
    <mergeCell ref="K6:N6"/>
    <mergeCell ref="K13:N13"/>
    <mergeCell ref="K18:N18"/>
    <mergeCell ref="E10:F10"/>
    <mergeCell ref="K16:N16"/>
    <mergeCell ref="E13:F13"/>
    <mergeCell ref="K15:N15"/>
    <mergeCell ref="E9:F9"/>
    <mergeCell ref="K9:N9"/>
    <mergeCell ref="K5:N5"/>
    <mergeCell ref="K11:N11"/>
    <mergeCell ref="K12:N12"/>
    <mergeCell ref="K8:N8"/>
    <mergeCell ref="G5:J5"/>
    <mergeCell ref="B29:F29"/>
    <mergeCell ref="E6:F6"/>
    <mergeCell ref="F27:F28"/>
    <mergeCell ref="G23:J23"/>
    <mergeCell ref="E15:F15"/>
    <mergeCell ref="E11:F11"/>
    <mergeCell ref="C27:C28"/>
    <mergeCell ref="E16:F16"/>
    <mergeCell ref="E7:F7"/>
    <mergeCell ref="E25:F25"/>
    <mergeCell ref="G24:J24"/>
    <mergeCell ref="E22:F22"/>
    <mergeCell ref="B26:C26"/>
    <mergeCell ref="E18:F18"/>
    <mergeCell ref="E21:F21"/>
    <mergeCell ref="G10:J10"/>
    <mergeCell ref="G4:J4"/>
    <mergeCell ref="G6:J6"/>
    <mergeCell ref="G7:J7"/>
    <mergeCell ref="G9:J9"/>
    <mergeCell ref="G8:J8"/>
    <mergeCell ref="G11:J11"/>
    <mergeCell ref="G12:J12"/>
    <mergeCell ref="G13:J13"/>
    <mergeCell ref="G14:J14"/>
    <mergeCell ref="G15:J15"/>
  </mergeCells>
  <phoneticPr fontId="2"/>
  <dataValidations count="7">
    <dataValidation type="list" allowBlank="1" showInputMessage="1" showErrorMessage="1" promptTitle="炉型選択" prompt="PWR、BWR、GCRのいずれかを選択してください" sqref="C7" xr:uid="{8B3BFF1B-4B51-4FDD-9480-A558870E5FD5}">
      <formula1>"PWR,BWR,GCR"</formula1>
    </dataValidation>
    <dataValidation type="list" allowBlank="1" showInputMessage="1" showErrorMessage="1" sqref="C8" xr:uid="{7C6A0BEB-876E-4454-BF4B-83DB754086A2}">
      <formula1>"計画, 実績"</formula1>
    </dataValidation>
    <dataValidation type="list" allowBlank="1" showInputMessage="1" showErrorMessage="1" sqref="G6:J6" xr:uid="{89544710-DD96-4A45-9998-8A8A8F6C25B5}">
      <formula1>"施設解体-解体費, 施設解体-維持管理費, 解体費-非該当"</formula1>
    </dataValidation>
    <dataValidation type="list" allowBlank="1" showInputMessage="1" showErrorMessage="1" sqref="G7:J7" xr:uid="{A94FC2D0-3036-4CEB-8CEB-FDAC2D1FB0EF}">
      <formula1>"処理処分-処理費, 処理処分-処分費, 処理処分-非該当"</formula1>
    </dataValidation>
    <dataValidation type="list" allowBlank="1" showInputMessage="1" showErrorMessage="1" sqref="F30:F37" xr:uid="{4443175D-8BE8-4106-A098-4A8CEF89C57A}">
      <formula1>"支払い対象, 支払い対象外"</formula1>
    </dataValidation>
    <dataValidation type="list" allowBlank="1" showInputMessage="1" showErrorMessage="1" sqref="E30:E37" xr:uid="{ED30100C-F6D2-4465-BE84-A9660B0AED35}">
      <formula1>"管理区域, 非管理区域"</formula1>
    </dataValidation>
    <dataValidation type="list" allowBlank="1" showInputMessage="1" showErrorMessage="1" sqref="C30:C37" xr:uid="{DC7504A0-B7DD-414A-84AE-67403D15B4AF}">
      <formula1>"ポンプ・モータ, タンク・脱塩塔, 配管, 弁, 熱交換器, サポート, 空調機, ダクト, 電気盤(バッテリー), ケーブル, 保温材, プールライナ, その他(燃料プール内機器), その他(クレーン), その他機器, 準備片付け, 機材費, コンクリート等(建物類), 大型機器"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4201-D979-4D5F-A446-5FE85B7C5C1C}">
  <sheetPr>
    <pageSetUpPr fitToPage="1"/>
  </sheetPr>
  <dimension ref="A1:P47"/>
  <sheetViews>
    <sheetView zoomScale="70" zoomScaleNormal="70" workbookViewId="0">
      <selection activeCell="C5" sqref="C5"/>
    </sheetView>
  </sheetViews>
  <sheetFormatPr defaultRowHeight="18" x14ac:dyDescent="0.45"/>
  <cols>
    <col min="1" max="1" width="4.6640625" style="3" customWidth="1"/>
    <col min="2" max="2" width="19.44140625" style="3" customWidth="1"/>
    <col min="3" max="3" width="18.21875" style="3" customWidth="1"/>
    <col min="4" max="4" width="13.109375" style="3" customWidth="1"/>
    <col min="5" max="15" width="14" style="3" customWidth="1"/>
    <col min="16" max="16" width="16.109375" style="3" customWidth="1"/>
    <col min="17" max="16384" width="8.88671875" style="3"/>
  </cols>
  <sheetData>
    <row r="1" spans="1:16" x14ac:dyDescent="0.45">
      <c r="A1" s="19" t="s">
        <v>48</v>
      </c>
      <c r="B1" s="19"/>
    </row>
    <row r="3" spans="1:16" ht="13.2" customHeight="1" x14ac:dyDescent="0.45">
      <c r="B3" s="2" t="s">
        <v>0</v>
      </c>
      <c r="D3" s="2"/>
    </row>
    <row r="4" spans="1:16" ht="15" customHeight="1" x14ac:dyDescent="0.45">
      <c r="B4" s="1" t="s">
        <v>2</v>
      </c>
      <c r="C4" s="61">
        <f>IF('MRC1'!C4="","",'MRC1'!C4)</f>
        <v>2026</v>
      </c>
      <c r="D4" s="23"/>
      <c r="G4" s="23"/>
      <c r="H4" s="23"/>
      <c r="I4" s="23"/>
      <c r="J4" s="23"/>
      <c r="K4" s="23"/>
      <c r="L4" s="23"/>
      <c r="P4" s="20" t="s">
        <v>6</v>
      </c>
    </row>
    <row r="5" spans="1:16" ht="15" customHeight="1" x14ac:dyDescent="0.45">
      <c r="B5" s="1" t="s">
        <v>7</v>
      </c>
      <c r="C5" s="61" t="str">
        <f>IF('MRC1'!C5="","",'MRC1'!C5)</f>
        <v>関東電力</v>
      </c>
      <c r="D5" s="24"/>
      <c r="G5" s="21"/>
      <c r="H5" s="21"/>
      <c r="I5" s="21"/>
      <c r="J5" s="21"/>
      <c r="K5" s="21"/>
      <c r="L5" s="21"/>
      <c r="M5" s="21"/>
      <c r="N5" s="21"/>
      <c r="O5" s="21"/>
      <c r="P5" s="11"/>
    </row>
    <row r="6" spans="1:16" ht="15" customHeight="1" x14ac:dyDescent="0.45">
      <c r="B6" s="1" t="s">
        <v>9</v>
      </c>
      <c r="C6" s="61" t="str">
        <f>IF('MRC1'!C6="","",'MRC1'!C6)</f>
        <v>原子炉補助冷却系統不要機器解体工事</v>
      </c>
      <c r="D6" s="24"/>
      <c r="G6" s="21"/>
      <c r="H6" s="21"/>
      <c r="I6" s="21"/>
      <c r="J6" s="21"/>
      <c r="K6" s="21"/>
      <c r="L6" s="21"/>
      <c r="M6" s="21"/>
      <c r="N6" s="21"/>
      <c r="O6" s="21"/>
      <c r="P6" s="11"/>
    </row>
    <row r="7" spans="1:16" ht="15" customHeight="1" x14ac:dyDescent="0.45">
      <c r="B7" s="1" t="s">
        <v>12</v>
      </c>
      <c r="C7" s="61" t="str">
        <f>IF('MRC1'!C7="","",'MRC1'!C7)</f>
        <v>BWR</v>
      </c>
      <c r="D7" s="24"/>
      <c r="G7" s="21"/>
      <c r="H7" s="21"/>
      <c r="I7" s="21"/>
      <c r="J7" s="21"/>
      <c r="K7" s="21"/>
      <c r="L7" s="21"/>
      <c r="M7" s="21"/>
      <c r="N7" s="21"/>
      <c r="O7" s="21"/>
      <c r="P7" s="11"/>
    </row>
    <row r="8" spans="1:16" ht="15" customHeight="1" x14ac:dyDescent="0.45">
      <c r="B8" s="1" t="s">
        <v>14</v>
      </c>
      <c r="C8" s="61" t="str">
        <f>IF('MRC1'!C8="","",'MRC1'!C8)</f>
        <v>計画</v>
      </c>
      <c r="D8" s="24"/>
      <c r="G8" s="22"/>
      <c r="H8" s="22"/>
      <c r="I8" s="22"/>
      <c r="J8" s="22"/>
      <c r="K8" s="22"/>
      <c r="L8" s="21"/>
      <c r="M8" s="21"/>
      <c r="N8" s="21"/>
      <c r="O8" s="21"/>
      <c r="P8" s="11"/>
    </row>
    <row r="9" spans="1:16" ht="15" customHeight="1" thickBot="1" x14ac:dyDescent="0.5">
      <c r="B9" s="2" t="s">
        <v>49</v>
      </c>
      <c r="D9" s="24"/>
      <c r="G9" s="21"/>
      <c r="H9" s="21"/>
      <c r="I9" s="21"/>
      <c r="J9" s="21"/>
      <c r="K9" s="21"/>
      <c r="L9" s="21"/>
      <c r="M9" s="21"/>
      <c r="N9" s="21"/>
      <c r="O9" s="21"/>
      <c r="P9" s="11"/>
    </row>
    <row r="10" spans="1:16" ht="15" customHeight="1" x14ac:dyDescent="0.45">
      <c r="B10" s="26" t="s">
        <v>3</v>
      </c>
      <c r="C10" s="123" t="s">
        <v>4</v>
      </c>
      <c r="D10" s="124"/>
      <c r="E10" s="124"/>
      <c r="F10" s="124"/>
      <c r="G10" s="125"/>
      <c r="H10" s="126" t="s">
        <v>5</v>
      </c>
      <c r="I10" s="127"/>
      <c r="J10" s="127"/>
      <c r="K10" s="127"/>
      <c r="L10" s="128"/>
      <c r="M10" s="27" t="s">
        <v>6</v>
      </c>
      <c r="N10" s="22"/>
      <c r="O10" s="22"/>
      <c r="P10" s="11"/>
    </row>
    <row r="11" spans="1:16" ht="15" customHeight="1" x14ac:dyDescent="0.45">
      <c r="B11" s="28" t="s">
        <v>8</v>
      </c>
      <c r="C11" s="72" t="str">
        <f>IF('MRC1'!G5="","",'MRC1'!G5)</f>
        <v>原子炉補助冷却系統不要機器解体工事</v>
      </c>
      <c r="D11" s="73"/>
      <c r="E11" s="73"/>
      <c r="F11" s="73"/>
      <c r="G11" s="74"/>
      <c r="H11" s="72" t="str">
        <f>IF('MRC1'!K5="","",'MRC1'!K5)</f>
        <v>原子炉補助冷却系統不要機器解体工事</v>
      </c>
      <c r="I11" s="73"/>
      <c r="J11" s="73"/>
      <c r="K11" s="73"/>
      <c r="L11" s="74"/>
      <c r="M11" s="29"/>
      <c r="N11" s="22"/>
      <c r="O11" s="22"/>
      <c r="P11" s="11"/>
    </row>
    <row r="12" spans="1:16" ht="15" customHeight="1" x14ac:dyDescent="0.45">
      <c r="B12" s="28" t="s">
        <v>10</v>
      </c>
      <c r="C12" s="72" t="str">
        <f>IF('MRC1'!G6="","",'MRC1'!G6)</f>
        <v>施設解体一解体費</v>
      </c>
      <c r="D12" s="73"/>
      <c r="E12" s="73"/>
      <c r="F12" s="73"/>
      <c r="G12" s="74"/>
      <c r="H12" s="72" t="str">
        <f>IF('MRC1'!K6="","",'MRC1'!K6)</f>
        <v>施設解体一解体費</v>
      </c>
      <c r="I12" s="73"/>
      <c r="J12" s="73"/>
      <c r="K12" s="73"/>
      <c r="L12" s="74"/>
      <c r="M12" s="29"/>
      <c r="N12" s="22"/>
      <c r="O12" s="22"/>
      <c r="P12" s="11"/>
    </row>
    <row r="13" spans="1:16" ht="15" customHeight="1" x14ac:dyDescent="0.45">
      <c r="B13" s="28" t="s">
        <v>13</v>
      </c>
      <c r="C13" s="72" t="str">
        <f>IF('MRC1'!G7="","",'MRC1'!G7)</f>
        <v>処理処分-非該当</v>
      </c>
      <c r="D13" s="73"/>
      <c r="E13" s="73"/>
      <c r="F13" s="73"/>
      <c r="G13" s="74"/>
      <c r="H13" s="72" t="str">
        <f>IF('MRC1'!K7="","",'MRC1'!K7)</f>
        <v>処理処分-非該当</v>
      </c>
      <c r="I13" s="73"/>
      <c r="J13" s="73"/>
      <c r="K13" s="73"/>
      <c r="L13" s="74"/>
      <c r="M13" s="29"/>
      <c r="N13" s="22"/>
      <c r="O13" s="22"/>
      <c r="P13" s="11"/>
    </row>
    <row r="14" spans="1:16" ht="15" customHeight="1" x14ac:dyDescent="0.45">
      <c r="B14" s="28" t="s">
        <v>15</v>
      </c>
      <c r="C14" s="72" t="str">
        <f>IF('MRC1'!G8="","",'MRC1'!G8)</f>
        <v>関東電力</v>
      </c>
      <c r="D14" s="73"/>
      <c r="E14" s="73"/>
      <c r="F14" s="73"/>
      <c r="G14" s="74"/>
      <c r="H14" s="72" t="str">
        <f>IF('MRC1'!K8="","",'MRC1'!K8)</f>
        <v>関東電力</v>
      </c>
      <c r="I14" s="73"/>
      <c r="J14" s="73"/>
      <c r="K14" s="73"/>
      <c r="L14" s="74"/>
      <c r="M14" s="29"/>
      <c r="N14" s="22"/>
      <c r="O14" s="22"/>
      <c r="P14" s="11"/>
    </row>
    <row r="15" spans="1:16" ht="15" customHeight="1" x14ac:dyDescent="0.45">
      <c r="B15" s="28" t="s">
        <v>12</v>
      </c>
      <c r="C15" s="72" t="str">
        <f>IF('MRC1'!G9="","",'MRC1'!G9)</f>
        <v>BWR</v>
      </c>
      <c r="D15" s="73"/>
      <c r="E15" s="73"/>
      <c r="F15" s="73"/>
      <c r="G15" s="74"/>
      <c r="H15" s="120" t="str">
        <f>IF('MRC1'!K9="","",'MRC1'!K9)</f>
        <v>BWR</v>
      </c>
      <c r="I15" s="121"/>
      <c r="J15" s="121"/>
      <c r="K15" s="121"/>
      <c r="L15" s="122"/>
      <c r="M15" s="29"/>
      <c r="N15" s="22"/>
      <c r="O15" s="22"/>
      <c r="P15" s="11"/>
    </row>
    <row r="16" spans="1:16" ht="15" customHeight="1" x14ac:dyDescent="0.45">
      <c r="B16" s="28" t="s">
        <v>16</v>
      </c>
      <c r="C16" s="117">
        <f>IF('MRC1'!G10="","",'MRC1'!G10)</f>
        <v>46269</v>
      </c>
      <c r="D16" s="118"/>
      <c r="E16" s="118"/>
      <c r="F16" s="118"/>
      <c r="G16" s="119"/>
      <c r="H16" s="120" t="str">
        <f>IF('MRC1'!K10="","",'MRC1'!K10)</f>
        <v/>
      </c>
      <c r="I16" s="121"/>
      <c r="J16" s="121"/>
      <c r="K16" s="121"/>
      <c r="L16" s="122"/>
      <c r="M16" s="29"/>
      <c r="N16" s="22"/>
      <c r="O16" s="22"/>
      <c r="P16" s="11"/>
    </row>
    <row r="17" spans="2:16" ht="15" customHeight="1" x14ac:dyDescent="0.45">
      <c r="B17" s="28" t="s">
        <v>17</v>
      </c>
      <c r="C17" s="117">
        <f>IF('MRC1'!G11="","",'MRC1'!G11)</f>
        <v>46473</v>
      </c>
      <c r="D17" s="118"/>
      <c r="E17" s="118"/>
      <c r="F17" s="118"/>
      <c r="G17" s="119"/>
      <c r="H17" s="120" t="str">
        <f>IF('MRC1'!L11="","",'MRC1'!L11)</f>
        <v/>
      </c>
      <c r="I17" s="121"/>
      <c r="J17" s="121"/>
      <c r="K17" s="121"/>
      <c r="L17" s="122"/>
      <c r="M17" s="29"/>
      <c r="N17" s="22"/>
      <c r="O17" s="22"/>
      <c r="P17" s="11"/>
    </row>
    <row r="18" spans="2:16" ht="15" customHeight="1" x14ac:dyDescent="0.45">
      <c r="B18" s="28" t="s">
        <v>18</v>
      </c>
      <c r="C18" s="117">
        <f>IF('MRC1'!G12="","",'MRC1'!G12)</f>
        <v>46269</v>
      </c>
      <c r="D18" s="118"/>
      <c r="E18" s="118"/>
      <c r="F18" s="118"/>
      <c r="G18" s="119"/>
      <c r="H18" s="120" t="str">
        <f>IF('MRC1'!K12="","",'MRC1'!K12)</f>
        <v/>
      </c>
      <c r="I18" s="121"/>
      <c r="J18" s="121"/>
      <c r="K18" s="121"/>
      <c r="L18" s="122"/>
      <c r="M18" s="29"/>
      <c r="N18" s="22"/>
      <c r="O18" s="22"/>
      <c r="P18" s="11"/>
    </row>
    <row r="19" spans="2:16" ht="15" customHeight="1" x14ac:dyDescent="0.45">
      <c r="B19" s="28" t="s">
        <v>19</v>
      </c>
      <c r="C19" s="117">
        <f>IF('MRC1'!G13="","",'MRC1'!G13)</f>
        <v>46473</v>
      </c>
      <c r="D19" s="118"/>
      <c r="E19" s="118"/>
      <c r="F19" s="118"/>
      <c r="G19" s="119"/>
      <c r="H19" s="120" t="str">
        <f>IF('MRC1'!K13="","",'MRC1'!K13)</f>
        <v/>
      </c>
      <c r="I19" s="121"/>
      <c r="J19" s="121"/>
      <c r="K19" s="121"/>
      <c r="L19" s="122"/>
      <c r="M19" s="29"/>
      <c r="N19" s="22"/>
      <c r="O19" s="22"/>
      <c r="P19" s="11"/>
    </row>
    <row r="20" spans="2:16" ht="15" customHeight="1" x14ac:dyDescent="0.45">
      <c r="B20" s="28" t="s">
        <v>20</v>
      </c>
      <c r="C20" s="120" t="str">
        <f>IF('MRC1'!G14="","",'MRC1'!G14)</f>
        <v>館山2号機</v>
      </c>
      <c r="D20" s="121"/>
      <c r="E20" s="121"/>
      <c r="F20" s="121"/>
      <c r="G20" s="122"/>
      <c r="H20" s="120" t="str">
        <f>IF('MRC1'!K14="","",'MRC1'!K14)</f>
        <v>館山2号機</v>
      </c>
      <c r="I20" s="121"/>
      <c r="J20" s="121"/>
      <c r="K20" s="121"/>
      <c r="L20" s="122"/>
      <c r="M20" s="29"/>
      <c r="N20" s="22"/>
      <c r="O20" s="22"/>
      <c r="P20" s="11"/>
    </row>
    <row r="21" spans="2:16" ht="15" customHeight="1" x14ac:dyDescent="0.45">
      <c r="B21" s="28" t="s">
        <v>21</v>
      </c>
      <c r="C21" s="72" t="str">
        <f>IF('MRC1'!G15="","",'MRC1'!G15)</f>
        <v>なし</v>
      </c>
      <c r="D21" s="73"/>
      <c r="E21" s="73"/>
      <c r="F21" s="73"/>
      <c r="G21" s="74"/>
      <c r="H21" s="72" t="str">
        <f>IF('MRC1'!K15="","",'MRC1'!K15)</f>
        <v>なし</v>
      </c>
      <c r="I21" s="73"/>
      <c r="J21" s="73"/>
      <c r="K21" s="73"/>
      <c r="L21" s="74"/>
      <c r="M21" s="29"/>
      <c r="N21" s="22"/>
      <c r="O21" s="22"/>
      <c r="P21" s="11"/>
    </row>
    <row r="22" spans="2:16" ht="15" customHeight="1" x14ac:dyDescent="0.45">
      <c r="B22" s="28" t="s">
        <v>22</v>
      </c>
      <c r="C22" s="72" t="str">
        <f>IF('MRC1'!G16="","",'MRC1'!G16)</f>
        <v>なし</v>
      </c>
      <c r="D22" s="73"/>
      <c r="E22" s="73"/>
      <c r="F22" s="73"/>
      <c r="G22" s="74"/>
      <c r="H22" s="72" t="str">
        <f>IF('MRC1'!K16="","",'MRC1'!K16)</f>
        <v>なし</v>
      </c>
      <c r="I22" s="73"/>
      <c r="J22" s="73"/>
      <c r="K22" s="73"/>
      <c r="L22" s="74"/>
      <c r="M22" s="29"/>
      <c r="N22" s="22"/>
      <c r="O22" s="22"/>
      <c r="P22" s="11"/>
    </row>
    <row r="23" spans="2:16" ht="15" customHeight="1" x14ac:dyDescent="0.45">
      <c r="B23" s="28" t="s">
        <v>24</v>
      </c>
      <c r="C23" s="72" t="str">
        <f>IF('MRC1'!G17="","",'MRC1'!G17)</f>
        <v>なし</v>
      </c>
      <c r="D23" s="73"/>
      <c r="E23" s="73"/>
      <c r="F23" s="73"/>
      <c r="G23" s="74"/>
      <c r="H23" s="72" t="str">
        <f>IF('MRC1'!K17="","",'MRC1'!K17)</f>
        <v>なし</v>
      </c>
      <c r="I23" s="73"/>
      <c r="J23" s="73"/>
      <c r="K23" s="73"/>
      <c r="L23" s="74"/>
      <c r="M23" s="29"/>
      <c r="N23" s="22"/>
      <c r="O23" s="22"/>
      <c r="P23" s="11"/>
    </row>
    <row r="24" spans="2:16" ht="15" customHeight="1" x14ac:dyDescent="0.45">
      <c r="B24" s="28" t="s">
        <v>25</v>
      </c>
      <c r="C24" s="72">
        <f>IF('MRC1'!G18="","",'MRC1'!G18)</f>
        <v>40000</v>
      </c>
      <c r="D24" s="73"/>
      <c r="E24" s="73"/>
      <c r="F24" s="73"/>
      <c r="G24" s="74"/>
      <c r="H24" s="72">
        <f>IF('MRC1'!K18="","",'MRC1'!K18)</f>
        <v>40000</v>
      </c>
      <c r="I24" s="73"/>
      <c r="J24" s="73"/>
      <c r="K24" s="73"/>
      <c r="L24" s="74"/>
      <c r="M24" s="30">
        <f>IF('MRC1'!O18="","",'MRC1'!O18)</f>
        <v>0</v>
      </c>
      <c r="N24" s="22"/>
      <c r="O24" s="22"/>
      <c r="P24" s="11"/>
    </row>
    <row r="25" spans="2:16" ht="15" customHeight="1" thickBot="1" x14ac:dyDescent="0.5">
      <c r="B25" s="31" t="s">
        <v>26</v>
      </c>
      <c r="C25" s="108">
        <f>IF('MRC1'!G19="","",'MRC1'!G19)</f>
        <v>4000000</v>
      </c>
      <c r="D25" s="109"/>
      <c r="E25" s="109"/>
      <c r="F25" s="109"/>
      <c r="G25" s="110"/>
      <c r="H25" s="108">
        <f>IF('MRC1'!K19="","",'MRC1'!K19)</f>
        <v>4000000</v>
      </c>
      <c r="I25" s="109"/>
      <c r="J25" s="109"/>
      <c r="K25" s="109"/>
      <c r="L25" s="110"/>
      <c r="M25" s="32">
        <f>IF('MRC1'!O19="","",'MRC1'!O19)</f>
        <v>0</v>
      </c>
      <c r="N25" s="22"/>
      <c r="O25" s="22"/>
      <c r="P25" s="11"/>
    </row>
    <row r="26" spans="2:16" ht="15" customHeight="1" x14ac:dyDescent="0.45">
      <c r="D26" s="11"/>
      <c r="P26" s="11"/>
    </row>
    <row r="27" spans="2:16" ht="15" customHeight="1" thickBot="1" x14ac:dyDescent="0.5">
      <c r="D27" s="11"/>
      <c r="P27" s="11"/>
    </row>
    <row r="28" spans="2:16" ht="15" customHeight="1" thickBot="1" x14ac:dyDescent="0.5">
      <c r="B28" s="2" t="s">
        <v>49</v>
      </c>
      <c r="C28" s="111" t="s">
        <v>4</v>
      </c>
      <c r="D28" s="112"/>
      <c r="E28" s="112"/>
      <c r="F28" s="112"/>
      <c r="G28" s="113"/>
      <c r="H28" s="114" t="s">
        <v>5</v>
      </c>
      <c r="I28" s="115"/>
      <c r="J28" s="115"/>
      <c r="K28" s="115"/>
      <c r="L28" s="116"/>
      <c r="P28" s="11"/>
    </row>
    <row r="29" spans="2:16" ht="15" customHeight="1" x14ac:dyDescent="0.45">
      <c r="B29" s="35"/>
      <c r="C29" s="33" t="s">
        <v>50</v>
      </c>
      <c r="D29" s="34" t="s">
        <v>51</v>
      </c>
      <c r="E29" s="34" t="s">
        <v>52</v>
      </c>
      <c r="F29" s="34" t="s">
        <v>53</v>
      </c>
      <c r="G29" s="34" t="s">
        <v>57</v>
      </c>
      <c r="H29" s="34" t="s">
        <v>50</v>
      </c>
      <c r="I29" s="34" t="s">
        <v>51</v>
      </c>
      <c r="J29" s="34" t="s">
        <v>52</v>
      </c>
      <c r="K29" s="34" t="s">
        <v>53</v>
      </c>
      <c r="L29" s="34" t="s">
        <v>57</v>
      </c>
      <c r="P29" s="11"/>
    </row>
    <row r="30" spans="2:16" ht="15" customHeight="1" x14ac:dyDescent="0.45">
      <c r="B30" s="36" t="s">
        <v>54</v>
      </c>
      <c r="C30" s="50"/>
      <c r="D30" s="51"/>
      <c r="E30" s="52"/>
      <c r="F30" s="52"/>
      <c r="G30" s="52"/>
      <c r="H30" s="52"/>
      <c r="I30" s="52"/>
      <c r="J30" s="52"/>
      <c r="K30" s="52"/>
      <c r="L30" s="52"/>
      <c r="P30" s="11"/>
    </row>
    <row r="31" spans="2:16" ht="15" customHeight="1" x14ac:dyDescent="0.45">
      <c r="B31" s="36" t="s">
        <v>55</v>
      </c>
      <c r="C31" s="55">
        <f>SUM(C32:C35)</f>
        <v>0</v>
      </c>
      <c r="D31" s="56">
        <f t="shared" ref="D31:L31" si="0">SUM(D32:D35)</f>
        <v>0</v>
      </c>
      <c r="E31" s="56">
        <f t="shared" si="0"/>
        <v>0</v>
      </c>
      <c r="F31" s="56">
        <f t="shared" ref="F31" si="1">SUM(F32:F35)</f>
        <v>0</v>
      </c>
      <c r="G31" s="56">
        <f t="shared" ref="G31" si="2">SUM(G32:G35)</f>
        <v>0</v>
      </c>
      <c r="H31" s="56">
        <f t="shared" ref="H31" si="3">SUM(H32:H35)</f>
        <v>0</v>
      </c>
      <c r="I31" s="56">
        <f t="shared" ref="I31" si="4">SUM(I32:I35)</f>
        <v>0</v>
      </c>
      <c r="J31" s="56">
        <f t="shared" ref="J31" si="5">SUM(J32:J35)</f>
        <v>0</v>
      </c>
      <c r="K31" s="56">
        <f t="shared" ref="K31" si="6">SUM(K32:K35)</f>
        <v>0</v>
      </c>
      <c r="L31" s="56">
        <f t="shared" si="0"/>
        <v>0</v>
      </c>
      <c r="P31" s="11"/>
    </row>
    <row r="32" spans="2:16" ht="15" customHeight="1" x14ac:dyDescent="0.45">
      <c r="B32" s="36" t="str">
        <f>"　"&amp;'MRC1'!G14</f>
        <v>　館山2号機</v>
      </c>
      <c r="C32" s="55"/>
      <c r="D32" s="57"/>
      <c r="E32" s="57"/>
      <c r="F32" s="57"/>
      <c r="G32" s="57"/>
      <c r="H32" s="56"/>
      <c r="I32" s="57"/>
      <c r="J32" s="57"/>
      <c r="K32" s="57"/>
      <c r="L32" s="57"/>
      <c r="P32" s="11"/>
    </row>
    <row r="33" spans="2:16" ht="15" customHeight="1" x14ac:dyDescent="0.45">
      <c r="B33" s="36"/>
      <c r="C33" s="55"/>
      <c r="D33" s="57"/>
      <c r="E33" s="56"/>
      <c r="F33" s="56"/>
      <c r="G33" s="56"/>
      <c r="H33" s="56"/>
      <c r="I33" s="56"/>
      <c r="J33" s="56"/>
      <c r="K33" s="56"/>
      <c r="L33" s="56"/>
      <c r="P33" s="11"/>
    </row>
    <row r="34" spans="2:16" ht="15" customHeight="1" x14ac:dyDescent="0.45">
      <c r="B34" s="36"/>
      <c r="C34" s="55"/>
      <c r="D34" s="57"/>
      <c r="E34" s="56"/>
      <c r="F34" s="56"/>
      <c r="G34" s="56"/>
      <c r="H34" s="56"/>
      <c r="I34" s="56"/>
      <c r="J34" s="56"/>
      <c r="K34" s="56"/>
      <c r="L34" s="56"/>
      <c r="P34" s="11"/>
    </row>
    <row r="35" spans="2:16" ht="18.600000000000001" thickBot="1" x14ac:dyDescent="0.5">
      <c r="B35" s="37"/>
      <c r="C35" s="55"/>
      <c r="D35" s="57"/>
      <c r="E35" s="56"/>
      <c r="F35" s="56"/>
      <c r="G35" s="56"/>
      <c r="H35" s="56"/>
      <c r="I35" s="56"/>
      <c r="J35" s="56"/>
      <c r="K35" s="56"/>
      <c r="L35" s="56"/>
    </row>
    <row r="36" spans="2:16" ht="18.600000000000001" thickBot="1" x14ac:dyDescent="0.5"/>
    <row r="37" spans="2:16" ht="18.600000000000001" thickBot="1" x14ac:dyDescent="0.5">
      <c r="C37" s="19" t="s">
        <v>50</v>
      </c>
      <c r="D37" s="3" t="s">
        <v>56</v>
      </c>
      <c r="E37" s="105" t="s">
        <v>58</v>
      </c>
      <c r="F37" s="106"/>
      <c r="G37" s="107"/>
    </row>
    <row r="38" spans="2:16" x14ac:dyDescent="0.45">
      <c r="B38" s="39"/>
      <c r="C38" s="47" t="s">
        <v>59</v>
      </c>
      <c r="D38" s="40" t="s">
        <v>70</v>
      </c>
      <c r="E38" s="48" t="s">
        <v>71</v>
      </c>
      <c r="F38" s="48" t="s">
        <v>72</v>
      </c>
      <c r="G38" s="48" t="s">
        <v>73</v>
      </c>
    </row>
    <row r="39" spans="2:16" x14ac:dyDescent="0.45">
      <c r="B39" s="43" t="s">
        <v>69</v>
      </c>
      <c r="C39" s="44" t="s">
        <v>60</v>
      </c>
      <c r="D39" s="44" t="s">
        <v>61</v>
      </c>
      <c r="E39" s="38">
        <v>1</v>
      </c>
      <c r="F39" s="58">
        <v>82163820</v>
      </c>
      <c r="G39" s="59">
        <f>IF(E39="一式",F39,E39*F39)</f>
        <v>82163820</v>
      </c>
    </row>
    <row r="40" spans="2:16" x14ac:dyDescent="0.45">
      <c r="B40" s="41"/>
      <c r="C40" s="42"/>
      <c r="D40" s="42" t="s">
        <v>62</v>
      </c>
      <c r="E40" s="38">
        <v>1</v>
      </c>
      <c r="F40" s="58">
        <v>21995758</v>
      </c>
      <c r="G40" s="59">
        <f t="shared" ref="G40:G46" si="7">IF(E40="一式",F40,E40*F40)</f>
        <v>21995758</v>
      </c>
    </row>
    <row r="41" spans="2:16" x14ac:dyDescent="0.45">
      <c r="B41" s="43"/>
      <c r="C41" s="44" t="s">
        <v>63</v>
      </c>
      <c r="D41" s="44" t="s">
        <v>63</v>
      </c>
      <c r="E41" s="38">
        <v>1</v>
      </c>
      <c r="F41" s="58">
        <v>14814954</v>
      </c>
      <c r="G41" s="59">
        <f t="shared" si="7"/>
        <v>14814954</v>
      </c>
    </row>
    <row r="42" spans="2:16" x14ac:dyDescent="0.45">
      <c r="B42" s="41"/>
      <c r="C42" s="42" t="s">
        <v>64</v>
      </c>
      <c r="D42" s="42" t="s">
        <v>64</v>
      </c>
      <c r="E42" s="38"/>
      <c r="F42" s="58"/>
      <c r="G42" s="59">
        <f t="shared" si="7"/>
        <v>0</v>
      </c>
    </row>
    <row r="43" spans="2:16" x14ac:dyDescent="0.45">
      <c r="B43" s="43"/>
      <c r="C43" s="44" t="s">
        <v>65</v>
      </c>
      <c r="D43" s="44" t="s">
        <v>65</v>
      </c>
      <c r="E43" s="38">
        <v>1</v>
      </c>
      <c r="F43" s="58">
        <v>13673178</v>
      </c>
      <c r="G43" s="59">
        <f t="shared" si="7"/>
        <v>13673178</v>
      </c>
    </row>
    <row r="44" spans="2:16" x14ac:dyDescent="0.45">
      <c r="B44" s="41"/>
      <c r="C44" s="42" t="s">
        <v>74</v>
      </c>
      <c r="D44" s="42" t="s">
        <v>66</v>
      </c>
      <c r="E44" s="38"/>
      <c r="F44" s="58"/>
      <c r="G44" s="59">
        <f t="shared" si="7"/>
        <v>0</v>
      </c>
    </row>
    <row r="45" spans="2:16" x14ac:dyDescent="0.45">
      <c r="B45" s="43"/>
      <c r="C45" s="44"/>
      <c r="D45" s="44" t="s">
        <v>67</v>
      </c>
      <c r="E45" s="38">
        <v>1</v>
      </c>
      <c r="F45" s="58">
        <v>25989960</v>
      </c>
      <c r="G45" s="59">
        <f t="shared" si="7"/>
        <v>25989960</v>
      </c>
    </row>
    <row r="46" spans="2:16" x14ac:dyDescent="0.45">
      <c r="B46" s="41"/>
      <c r="C46" s="42" t="s">
        <v>68</v>
      </c>
      <c r="D46" s="42"/>
      <c r="E46" s="38"/>
      <c r="F46" s="58"/>
      <c r="G46" s="59">
        <f t="shared" si="7"/>
        <v>0</v>
      </c>
    </row>
    <row r="47" spans="2:16" ht="18.600000000000001" thickBot="1" x14ac:dyDescent="0.5">
      <c r="B47" s="45" t="s">
        <v>75</v>
      </c>
      <c r="C47" s="46" t="s">
        <v>76</v>
      </c>
      <c r="D47" s="46" t="s">
        <v>76</v>
      </c>
      <c r="E47" s="49"/>
      <c r="F47" s="60"/>
      <c r="G47" s="60">
        <f>SUM(G39:G46)</f>
        <v>158637670</v>
      </c>
    </row>
  </sheetData>
  <mergeCells count="35">
    <mergeCell ref="C10:G10"/>
    <mergeCell ref="H10:L10"/>
    <mergeCell ref="C11:G11"/>
    <mergeCell ref="H11:L11"/>
    <mergeCell ref="C12:G12"/>
    <mergeCell ref="H12:L12"/>
    <mergeCell ref="C15:G15"/>
    <mergeCell ref="H15:L15"/>
    <mergeCell ref="C16:G16"/>
    <mergeCell ref="H16:L16"/>
    <mergeCell ref="C13:G13"/>
    <mergeCell ref="H13:L13"/>
    <mergeCell ref="C14:G14"/>
    <mergeCell ref="H14:L14"/>
    <mergeCell ref="C19:G19"/>
    <mergeCell ref="H19:L19"/>
    <mergeCell ref="C20:G20"/>
    <mergeCell ref="H20:L20"/>
    <mergeCell ref="C17:G17"/>
    <mergeCell ref="H17:L17"/>
    <mergeCell ref="C18:G18"/>
    <mergeCell ref="H18:L18"/>
    <mergeCell ref="C23:G23"/>
    <mergeCell ref="H23:L23"/>
    <mergeCell ref="C24:G24"/>
    <mergeCell ref="H24:L24"/>
    <mergeCell ref="C21:G21"/>
    <mergeCell ref="H21:L21"/>
    <mergeCell ref="C22:G22"/>
    <mergeCell ref="H22:L22"/>
    <mergeCell ref="E37:G37"/>
    <mergeCell ref="C25:G25"/>
    <mergeCell ref="H25:L25"/>
    <mergeCell ref="C28:G28"/>
    <mergeCell ref="H28:L28"/>
  </mergeCells>
  <phoneticPr fontId="2"/>
  <dataValidations count="2">
    <dataValidation type="list" allowBlank="1" showInputMessage="1" showErrorMessage="1" sqref="G7:K7" xr:uid="{AC269989-466C-4981-878F-68213DFAE7ED}">
      <formula1>"処理処分-処理費, 処理処分-処分費, 処理処分-非該当"</formula1>
    </dataValidation>
    <dataValidation type="list" allowBlank="1" showInputMessage="1" showErrorMessage="1" sqref="G6:K6" xr:uid="{1E77CA03-066D-41FE-A21F-631FCC714456}">
      <formula1>"施設解体-解体費, 施設解体-維持管理費, 解体費-非該当"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MRC1</vt:lpstr>
      <vt:lpstr>MRC2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智紀 小野寺</cp:lastModifiedBy>
  <dcterms:created xsi:type="dcterms:W3CDTF">2026-04-27T10:49:00Z</dcterms:created>
  <dcterms:modified xsi:type="dcterms:W3CDTF">2026-06-21T11:51:57Z</dcterms:modified>
</cp:coreProperties>
</file>